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DELL\OneDrive\Desktop\BUSINNESS PARTNERS\IOT SMART SYSTEMS\UBERO SHENZHEN IOT DEVICES\Europe, Russia, and Central Asia\欧标-7-26 OK\塑料产品报价\"/>
    </mc:Choice>
  </mc:AlternateContent>
  <xr:revisionPtr revIDLastSave="0" documentId="13_ncr:1_{30D07153-7BE7-4783-9554-951B1561C63E}" xr6:coauthVersionLast="47" xr6:coauthVersionMax="47" xr10:uidLastSave="{00000000-0000-0000-0000-000000000000}"/>
  <bookViews>
    <workbookView xWindow="-108" yWindow="-108" windowWidth="22320" windowHeight="13176" xr2:uid="{00000000-000D-0000-FFFF-FFFF00000000}"/>
  </bookViews>
  <sheets>
    <sheet name="A1系列 方形成品价格表 (2)" sheetId="1" r:id="rId1"/>
  </sheets>
  <externalReferences>
    <externalReference r:id="rId2"/>
  </externalReferences>
  <definedNames>
    <definedName name="_xlnm.Print_Area" localSheetId="0">'A1系列 方形成品价格表 (2)'!$B$1:$I$25</definedName>
    <definedName name="方形_两开按钮">[1]基础信息!$D$19</definedName>
  </definedNames>
  <calcPr calcId="191029" iterate="1" iterateCount="100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1" l="1"/>
  <c r="G35" i="1"/>
  <c r="I34" i="1"/>
  <c r="G34" i="1"/>
  <c r="I33" i="1"/>
  <c r="G33" i="1"/>
  <c r="I32" i="1"/>
  <c r="G32" i="1"/>
  <c r="I31" i="1"/>
  <c r="G31" i="1"/>
  <c r="I30" i="1"/>
  <c r="G30" i="1"/>
  <c r="I24" i="1"/>
  <c r="H24" i="1"/>
  <c r="G24" i="1"/>
  <c r="F24" i="1"/>
  <c r="I23" i="1"/>
  <c r="G23" i="1"/>
  <c r="I22" i="1"/>
  <c r="G22" i="1"/>
  <c r="I21" i="1"/>
  <c r="H21" i="1"/>
  <c r="G21" i="1"/>
  <c r="F21" i="1"/>
  <c r="I20" i="1"/>
  <c r="H20" i="1"/>
  <c r="G20" i="1"/>
  <c r="F20" i="1"/>
  <c r="I19" i="1"/>
  <c r="H19" i="1"/>
  <c r="G19" i="1"/>
  <c r="F19" i="1"/>
  <c r="I18" i="1"/>
  <c r="H18" i="1"/>
  <c r="G18" i="1"/>
  <c r="F18" i="1"/>
  <c r="I17" i="1"/>
  <c r="H17" i="1"/>
  <c r="G17" i="1"/>
  <c r="F17" i="1"/>
  <c r="I16" i="1"/>
  <c r="H16" i="1"/>
  <c r="G16" i="1"/>
  <c r="F16" i="1"/>
  <c r="I15" i="1"/>
  <c r="H15" i="1"/>
  <c r="G15" i="1"/>
  <c r="F15" i="1"/>
  <c r="I14" i="1"/>
  <c r="H14" i="1"/>
  <c r="G14" i="1"/>
  <c r="F14" i="1"/>
  <c r="I13" i="1"/>
  <c r="H13" i="1"/>
  <c r="G13" i="1"/>
  <c r="F13" i="1"/>
  <c r="I12" i="1"/>
  <c r="H12" i="1"/>
  <c r="G12" i="1"/>
  <c r="F12" i="1"/>
  <c r="I11" i="1"/>
  <c r="H11" i="1"/>
  <c r="G11" i="1"/>
  <c r="F11" i="1"/>
  <c r="I10" i="1"/>
  <c r="H10" i="1"/>
  <c r="G10" i="1"/>
  <c r="F10" i="1"/>
  <c r="I9" i="1"/>
  <c r="H9" i="1"/>
  <c r="G9" i="1"/>
  <c r="F9" i="1"/>
  <c r="I8" i="1"/>
  <c r="H8" i="1"/>
  <c r="G8" i="1"/>
  <c r="F8" i="1"/>
  <c r="I7" i="1"/>
  <c r="H7" i="1"/>
  <c r="G7" i="1"/>
  <c r="F7" i="1"/>
  <c r="I6" i="1"/>
  <c r="H6" i="1"/>
  <c r="G6" i="1"/>
  <c r="F6" i="1"/>
  <c r="I5" i="1"/>
  <c r="H5" i="1"/>
  <c r="G5" i="1"/>
  <c r="F5" i="1"/>
  <c r="I4" i="1"/>
  <c r="H4" i="1"/>
  <c r="G4" i="1"/>
  <c r="F4" i="1"/>
  <c r="I3" i="1"/>
  <c r="H3" i="1"/>
  <c r="G3" i="1"/>
  <c r="F3" i="1"/>
</calcChain>
</file>

<file path=xl/sharedStrings.xml><?xml version="1.0" encoding="utf-8"?>
<sst xmlns="http://schemas.openxmlformats.org/spreadsheetml/2006/main" count="112" uniqueCount="102">
  <si>
    <r>
      <rPr>
        <b/>
        <sz val="18"/>
        <color theme="1"/>
        <rFont val="Arial"/>
        <charset val="134"/>
      </rPr>
      <t>A1</t>
    </r>
    <r>
      <rPr>
        <b/>
        <sz val="18"/>
        <color theme="1"/>
        <rFont val="宋体"/>
        <charset val="134"/>
      </rPr>
      <t>系列</t>
    </r>
    <r>
      <rPr>
        <b/>
        <sz val="18"/>
        <color theme="1"/>
        <rFont val="Arial"/>
        <charset val="134"/>
      </rPr>
      <t xml:space="preserve"> </t>
    </r>
    <r>
      <rPr>
        <b/>
        <sz val="18"/>
        <color theme="1"/>
        <rFont val="宋体"/>
        <charset val="134"/>
      </rPr>
      <t>方形成品价格表</t>
    </r>
    <r>
      <rPr>
        <b/>
        <sz val="18"/>
        <color theme="1"/>
        <rFont val="Arial"/>
        <charset val="134"/>
      </rPr>
      <t xml:space="preserve">
A1 series square Finished product price list</t>
    </r>
  </si>
  <si>
    <t>产品图片
Product picture</t>
  </si>
  <si>
    <t>型号
Model number</t>
  </si>
  <si>
    <t>产品名</t>
  </si>
  <si>
    <t>product name</t>
  </si>
  <si>
    <t>PCS/CTN</t>
  </si>
  <si>
    <t>WHITE PIECE（RMB）</t>
  </si>
  <si>
    <t>WHITE PIECE（USD）</t>
  </si>
  <si>
    <t>OTHER COLOUR PRICE（RMB）</t>
  </si>
  <si>
    <t>OTHER COLOUR PRICE（USD）</t>
  </si>
  <si>
    <t>Length
（cm）</t>
  </si>
  <si>
    <t>Breadth
（cm）</t>
  </si>
  <si>
    <t>Height
（cm）</t>
  </si>
  <si>
    <t>A1-001</t>
  </si>
  <si>
    <t>方形 一开单</t>
  </si>
  <si>
    <t xml:space="preserve">1 gang  1 way </t>
  </si>
  <si>
    <t>A1-002</t>
  </si>
  <si>
    <t>方形 一开双</t>
  </si>
  <si>
    <t xml:space="preserve">1 gang  2 way </t>
  </si>
  <si>
    <t>A1-003</t>
  </si>
  <si>
    <t>方形 两开单</t>
  </si>
  <si>
    <t>2 gang  1 way</t>
  </si>
  <si>
    <t>A1-004</t>
  </si>
  <si>
    <t>方形 两开双</t>
  </si>
  <si>
    <t>2 gang 2 way</t>
  </si>
  <si>
    <t>A1-005</t>
  </si>
  <si>
    <t>方形 三开单</t>
  </si>
  <si>
    <t>3 gang  1 way</t>
  </si>
  <si>
    <t>A1-006</t>
  </si>
  <si>
    <t>方形 门铃</t>
  </si>
  <si>
    <t>door bell switch</t>
  </si>
  <si>
    <t>A1-010</t>
  </si>
  <si>
    <t>方形 德式插座</t>
  </si>
  <si>
    <t>German socket</t>
  </si>
  <si>
    <t>A1-008</t>
  </si>
  <si>
    <t>方形 俄式插座</t>
  </si>
  <si>
    <t>Russian socket</t>
  </si>
  <si>
    <t>A1-016</t>
  </si>
  <si>
    <t>方形 德式插座（带防溅盖）</t>
  </si>
  <si>
    <t>German socket with cover</t>
  </si>
  <si>
    <t>A1-015</t>
  </si>
  <si>
    <t>方形 俄式插座（带防溅盖）</t>
  </si>
  <si>
    <t>Russian socket with cover</t>
  </si>
  <si>
    <t>A1-031</t>
  </si>
  <si>
    <t>方形 双联德式插座</t>
  </si>
  <si>
    <t>Double 
german socket</t>
  </si>
  <si>
    <t>A1-029</t>
  </si>
  <si>
    <t>方形 双联俄式插座</t>
  </si>
  <si>
    <t>Double 
Russian socket</t>
  </si>
  <si>
    <t>A1-018</t>
  </si>
  <si>
    <t>方形 卫星电视</t>
  </si>
  <si>
    <t>Satellite socket</t>
  </si>
  <si>
    <t>A1-019</t>
  </si>
  <si>
    <t>方形 电话</t>
  </si>
  <si>
    <t xml:space="preserve">Tel socket  </t>
  </si>
  <si>
    <t>A1-020</t>
  </si>
  <si>
    <t>方形 电脑</t>
  </si>
  <si>
    <t>Internet  socket</t>
  </si>
  <si>
    <t>A1-032</t>
  </si>
  <si>
    <t>方形 卫星电视+电话</t>
  </si>
  <si>
    <t>Satellite +TEL</t>
  </si>
  <si>
    <t>A1-021</t>
  </si>
  <si>
    <t>方形 卫星电视+电脑</t>
  </si>
  <si>
    <t xml:space="preserve">Satellite +Net </t>
  </si>
  <si>
    <t>A1-023</t>
  </si>
  <si>
    <t>方形 电话+电脑</t>
  </si>
  <si>
    <t xml:space="preserve">Tel +Internet  </t>
  </si>
  <si>
    <t>A1-033</t>
  </si>
  <si>
    <t>方形 双电脑</t>
  </si>
  <si>
    <t>Double net socket</t>
  </si>
  <si>
    <t>A1-024</t>
  </si>
  <si>
    <t>方形 调速</t>
  </si>
  <si>
    <t>Speed Control Switch</t>
  </si>
  <si>
    <t>A1-025</t>
  </si>
  <si>
    <t>方形 调光</t>
  </si>
  <si>
    <t>Dimmer Switch</t>
  </si>
  <si>
    <t>A1-014</t>
  </si>
  <si>
    <t>方形 德式插座带USB A+C</t>
  </si>
  <si>
    <t>German socket with 2 usb(A+C)</t>
  </si>
  <si>
    <t>exchange rate 7.1 USD 2024.8.25</t>
  </si>
  <si>
    <r>
      <rPr>
        <sz val="20"/>
        <color theme="1"/>
        <rFont val="Arial"/>
        <charset val="134"/>
      </rPr>
      <t>A1</t>
    </r>
    <r>
      <rPr>
        <sz val="20"/>
        <color theme="1"/>
        <rFont val="宋体"/>
        <charset val="134"/>
      </rPr>
      <t>方形系列面板</t>
    </r>
    <r>
      <rPr>
        <sz val="20"/>
        <color theme="1"/>
        <rFont val="Arial"/>
        <charset val="134"/>
      </rPr>
      <t xml:space="preserve">
A1 Square series panel</t>
    </r>
  </si>
  <si>
    <r>
      <rPr>
        <sz val="11"/>
        <color theme="1"/>
        <rFont val="宋体"/>
        <charset val="134"/>
      </rPr>
      <t>产品图片</t>
    </r>
    <r>
      <rPr>
        <sz val="11"/>
        <color theme="1"/>
        <rFont val="Arial"/>
        <charset val="134"/>
      </rPr>
      <t xml:space="preserve">
Product picture</t>
    </r>
  </si>
  <si>
    <r>
      <rPr>
        <sz val="11"/>
        <color theme="1"/>
        <rFont val="Arial"/>
        <charset val="134"/>
      </rPr>
      <t>A1</t>
    </r>
    <r>
      <rPr>
        <sz val="11"/>
        <color theme="1"/>
        <rFont val="宋体"/>
        <charset val="134"/>
      </rPr>
      <t>系列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方形面板</t>
    </r>
  </si>
  <si>
    <r>
      <rPr>
        <sz val="11"/>
        <color theme="1"/>
        <rFont val="Arial"/>
        <charset val="134"/>
      </rPr>
      <t>A1</t>
    </r>
    <r>
      <rPr>
        <sz val="11"/>
        <color theme="1"/>
        <rFont val="宋体"/>
        <charset val="134"/>
      </rPr>
      <t xml:space="preserve"> Panel</t>
    </r>
  </si>
  <si>
    <t>A1-FX-001</t>
  </si>
  <si>
    <r>
      <rPr>
        <sz val="11"/>
        <color theme="1"/>
        <rFont val="宋体"/>
        <charset val="134"/>
      </rPr>
      <t>一位面板</t>
    </r>
  </si>
  <si>
    <t>1 Frame</t>
  </si>
  <si>
    <t>A1-FX-002</t>
  </si>
  <si>
    <r>
      <rPr>
        <sz val="11"/>
        <color theme="1"/>
        <rFont val="宋体"/>
        <charset val="134"/>
      </rPr>
      <t>二位面板</t>
    </r>
  </si>
  <si>
    <t>2 Frame</t>
  </si>
  <si>
    <t>A1-FX-003</t>
  </si>
  <si>
    <r>
      <rPr>
        <sz val="11"/>
        <color theme="1"/>
        <rFont val="宋体"/>
        <charset val="134"/>
      </rPr>
      <t>三位面板</t>
    </r>
  </si>
  <si>
    <t>3 Frame</t>
  </si>
  <si>
    <t>A1-FX-004</t>
  </si>
  <si>
    <r>
      <rPr>
        <sz val="11"/>
        <color theme="1"/>
        <rFont val="宋体"/>
        <charset val="134"/>
      </rPr>
      <t>四位面板</t>
    </r>
  </si>
  <si>
    <t>4 Frame</t>
  </si>
  <si>
    <t>A1-FX-005</t>
  </si>
  <si>
    <r>
      <rPr>
        <sz val="11"/>
        <color theme="1"/>
        <rFont val="宋体"/>
        <charset val="134"/>
      </rPr>
      <t>五位面板</t>
    </r>
  </si>
  <si>
    <t>5 Frame</t>
  </si>
  <si>
    <t>A1-FX-006</t>
  </si>
  <si>
    <r>
      <rPr>
        <sz val="11"/>
        <color theme="1"/>
        <rFont val="Arial"/>
        <charset val="134"/>
      </rPr>
      <t>120</t>
    </r>
    <r>
      <rPr>
        <sz val="11"/>
        <color theme="1"/>
        <rFont val="宋体"/>
        <charset val="134"/>
      </rPr>
      <t>面板</t>
    </r>
  </si>
  <si>
    <t>120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</si>
</sst>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0.00_);[Red]\(0.00\)"/>
    <numFmt numFmtId="169" formatCode="0.000_ "/>
  </numFmts>
  <fonts count="16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color rgb="FFFF0000"/>
      <name val="Arial"/>
      <charset val="134"/>
    </font>
    <font>
      <b/>
      <sz val="18"/>
      <color theme="1"/>
      <name val="Arial"/>
      <charset val="134"/>
    </font>
    <font>
      <b/>
      <sz val="12"/>
      <color theme="1"/>
      <name val="宋体"/>
      <charset val="134"/>
    </font>
    <font>
      <b/>
      <sz val="12"/>
      <color rgb="FFFF0000"/>
      <name val="宋体"/>
      <charset val="134"/>
    </font>
    <font>
      <sz val="11"/>
      <color rgb="FF000000"/>
      <name val="Arial"/>
    </font>
    <font>
      <sz val="11"/>
      <name val="Arial"/>
      <charset val="134"/>
    </font>
    <font>
      <sz val="20"/>
      <color rgb="FFFF0000"/>
      <name val="Arial"/>
      <charset val="134"/>
    </font>
    <font>
      <sz val="20"/>
      <color theme="1"/>
      <name val="Arial"/>
      <charset val="134"/>
    </font>
    <font>
      <sz val="11"/>
      <color theme="1"/>
      <name val="宋体"/>
      <charset val="134"/>
    </font>
    <font>
      <b/>
      <sz val="14"/>
      <color theme="1"/>
      <name val="宋体"/>
      <charset val="134"/>
    </font>
    <font>
      <b/>
      <sz val="14"/>
      <color rgb="FFFF0000"/>
      <name val="宋体"/>
      <charset val="134"/>
    </font>
    <font>
      <sz val="10"/>
      <color theme="1"/>
      <name val="微软雅黑"/>
      <charset val="134"/>
    </font>
    <font>
      <b/>
      <sz val="18"/>
      <color theme="1"/>
      <name val="宋体"/>
      <charset val="134"/>
    </font>
    <font>
      <sz val="20"/>
      <color theme="1"/>
      <name val="宋体"/>
      <charset val="134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168" fontId="5" fillId="0" borderId="6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168" fontId="2" fillId="0" borderId="7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168" fontId="2" fillId="0" borderId="18" xfId="0" applyNumberFormat="1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168" fontId="12" fillId="0" borderId="6" xfId="0" applyNumberFormat="1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68" fontId="5" fillId="0" borderId="5" xfId="0" applyNumberFormat="1" applyFont="1" applyBorder="1" applyAlignment="1">
      <alignment horizontal="center" vertical="center" wrapText="1"/>
    </xf>
    <xf numFmtId="168" fontId="2" fillId="0" borderId="10" xfId="0" applyNumberFormat="1" applyFont="1" applyBorder="1" applyAlignment="1">
      <alignment horizontal="center" vertical="center" wrapText="1"/>
    </xf>
    <xf numFmtId="168" fontId="2" fillId="0" borderId="20" xfId="0" applyNumberFormat="1" applyFont="1" applyBorder="1" applyAlignment="1">
      <alignment horizontal="center" vertical="center" wrapText="1"/>
    </xf>
    <xf numFmtId="168" fontId="12" fillId="0" borderId="5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8" fontId="1" fillId="0" borderId="2" xfId="0" applyNumberFormat="1" applyFont="1" applyBorder="1" applyAlignment="1">
      <alignment horizontal="center" vertical="center" wrapText="1"/>
    </xf>
    <xf numFmtId="169" fontId="1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205105</xdr:colOff>
      <xdr:row>29</xdr:row>
      <xdr:rowOff>92075</xdr:rowOff>
    </xdr:from>
    <xdr:to>
      <xdr:col>0</xdr:col>
      <xdr:colOff>870585</xdr:colOff>
      <xdr:row>29</xdr:row>
      <xdr:rowOff>661670</xdr:rowOff>
    </xdr:to>
    <xdr:pic>
      <xdr:nvPicPr>
        <xdr:cNvPr id="21" name="图片 20" descr="WPS图片(1)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105" y="24799925"/>
          <a:ext cx="66548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30</xdr:row>
      <xdr:rowOff>104140</xdr:rowOff>
    </xdr:from>
    <xdr:to>
      <xdr:col>1</xdr:col>
      <xdr:colOff>0</xdr:colOff>
      <xdr:row>30</xdr:row>
      <xdr:rowOff>657225</xdr:rowOff>
    </xdr:to>
    <xdr:pic>
      <xdr:nvPicPr>
        <xdr:cNvPr id="22" name="图片 21" descr="WPS图片(1)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25548590"/>
          <a:ext cx="1171575" cy="553085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31</xdr:row>
      <xdr:rowOff>170180</xdr:rowOff>
    </xdr:from>
    <xdr:to>
      <xdr:col>1</xdr:col>
      <xdr:colOff>0</xdr:colOff>
      <xdr:row>31</xdr:row>
      <xdr:rowOff>593725</xdr:rowOff>
    </xdr:to>
    <xdr:pic>
      <xdr:nvPicPr>
        <xdr:cNvPr id="23" name="图片 22" descr="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" y="26351230"/>
          <a:ext cx="1162050" cy="423545"/>
        </a:xfrm>
        <a:prstGeom prst="rect">
          <a:avLst/>
        </a:prstGeom>
      </xdr:spPr>
    </xdr:pic>
    <xdr:clientData/>
  </xdr:twoCellAnchor>
  <xdr:twoCellAnchor editAs="oneCell">
    <xdr:from>
      <xdr:col>0</xdr:col>
      <xdr:colOff>73025</xdr:colOff>
      <xdr:row>32</xdr:row>
      <xdr:rowOff>231140</xdr:rowOff>
    </xdr:from>
    <xdr:to>
      <xdr:col>1</xdr:col>
      <xdr:colOff>0</xdr:colOff>
      <xdr:row>32</xdr:row>
      <xdr:rowOff>530225</xdr:rowOff>
    </xdr:to>
    <xdr:pic>
      <xdr:nvPicPr>
        <xdr:cNvPr id="24" name="图片 23" descr="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025" y="27148790"/>
          <a:ext cx="1146175" cy="299085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33</xdr:row>
      <xdr:rowOff>219075</xdr:rowOff>
    </xdr:from>
    <xdr:to>
      <xdr:col>1</xdr:col>
      <xdr:colOff>0</xdr:colOff>
      <xdr:row>33</xdr:row>
      <xdr:rowOff>508635</xdr:rowOff>
    </xdr:to>
    <xdr:pic>
      <xdr:nvPicPr>
        <xdr:cNvPr id="26" name="图片 25" descr="4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150" y="27873325"/>
          <a:ext cx="1162050" cy="289560"/>
        </a:xfrm>
        <a:prstGeom prst="rect">
          <a:avLst/>
        </a:prstGeom>
      </xdr:spPr>
    </xdr:pic>
    <xdr:clientData/>
  </xdr:twoCellAnchor>
  <xdr:twoCellAnchor editAs="oneCell">
    <xdr:from>
      <xdr:col>0</xdr:col>
      <xdr:colOff>141922</xdr:colOff>
      <xdr:row>34</xdr:row>
      <xdr:rowOff>125412</xdr:rowOff>
    </xdr:from>
    <xdr:to>
      <xdr:col>0</xdr:col>
      <xdr:colOff>964247</xdr:colOff>
      <xdr:row>34</xdr:row>
      <xdr:rowOff>661352</xdr:rowOff>
    </xdr:to>
    <xdr:pic>
      <xdr:nvPicPr>
        <xdr:cNvPr id="27" name="图片 26" descr="5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284480" y="28372435"/>
          <a:ext cx="535940" cy="822325"/>
        </a:xfrm>
        <a:prstGeom prst="rect">
          <a:avLst/>
        </a:prstGeom>
      </xdr:spPr>
    </xdr:pic>
    <xdr:clientData/>
  </xdr:twoCellAnchor>
  <xdr:twoCellAnchor editAs="oneCell">
    <xdr:from>
      <xdr:col>0</xdr:col>
      <xdr:colOff>92710</xdr:colOff>
      <xdr:row>2</xdr:row>
      <xdr:rowOff>31750</xdr:rowOff>
    </xdr:from>
    <xdr:to>
      <xdr:col>0</xdr:col>
      <xdr:colOff>1016635</xdr:colOff>
      <xdr:row>2</xdr:row>
      <xdr:rowOff>901700</xdr:rowOff>
    </xdr:to>
    <xdr:pic>
      <xdr:nvPicPr>
        <xdr:cNvPr id="25" name="图片 24" descr="6e10e48f5eba0a8fdd8507bbcfbe23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2710" y="1441450"/>
          <a:ext cx="923925" cy="869950"/>
        </a:xfrm>
        <a:prstGeom prst="rect">
          <a:avLst/>
        </a:prstGeom>
      </xdr:spPr>
    </xdr:pic>
    <xdr:clientData/>
  </xdr:twoCellAnchor>
  <xdr:twoCellAnchor editAs="oneCell">
    <xdr:from>
      <xdr:col>0</xdr:col>
      <xdr:colOff>102870</xdr:colOff>
      <xdr:row>2</xdr:row>
      <xdr:rowOff>82550</xdr:rowOff>
    </xdr:from>
    <xdr:to>
      <xdr:col>0</xdr:col>
      <xdr:colOff>1026795</xdr:colOff>
      <xdr:row>2</xdr:row>
      <xdr:rowOff>952500</xdr:rowOff>
    </xdr:to>
    <xdr:pic>
      <xdr:nvPicPr>
        <xdr:cNvPr id="29" name="图片 28" descr="6e10e48f5eba0a8fdd8507bbcfbe232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2870" y="1492250"/>
          <a:ext cx="923925" cy="869950"/>
        </a:xfrm>
        <a:prstGeom prst="rect">
          <a:avLst/>
        </a:prstGeom>
      </xdr:spPr>
    </xdr:pic>
    <xdr:clientData/>
  </xdr:twoCellAnchor>
  <xdr:twoCellAnchor editAs="oneCell">
    <xdr:from>
      <xdr:col>0</xdr:col>
      <xdr:colOff>64135</xdr:colOff>
      <xdr:row>3</xdr:row>
      <xdr:rowOff>82550</xdr:rowOff>
    </xdr:from>
    <xdr:to>
      <xdr:col>0</xdr:col>
      <xdr:colOff>988060</xdr:colOff>
      <xdr:row>3</xdr:row>
      <xdr:rowOff>952500</xdr:rowOff>
    </xdr:to>
    <xdr:pic>
      <xdr:nvPicPr>
        <xdr:cNvPr id="30" name="图片 29" descr="6e10e48f5eba0a8fdd8507bbcfbe232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4135" y="2457450"/>
          <a:ext cx="923925" cy="869950"/>
        </a:xfrm>
        <a:prstGeom prst="rect">
          <a:avLst/>
        </a:prstGeom>
      </xdr:spPr>
    </xdr:pic>
    <xdr:clientData/>
  </xdr:twoCellAnchor>
  <xdr:twoCellAnchor editAs="oneCell">
    <xdr:from>
      <xdr:col>0</xdr:col>
      <xdr:colOff>143510</xdr:colOff>
      <xdr:row>4</xdr:row>
      <xdr:rowOff>95250</xdr:rowOff>
    </xdr:from>
    <xdr:to>
      <xdr:col>0</xdr:col>
      <xdr:colOff>1057910</xdr:colOff>
      <xdr:row>4</xdr:row>
      <xdr:rowOff>955675</xdr:rowOff>
    </xdr:to>
    <xdr:pic>
      <xdr:nvPicPr>
        <xdr:cNvPr id="31" name="图片 30" descr="c60e69ce3494b597b32edbee4227f27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3510" y="3435350"/>
          <a:ext cx="914400" cy="860425"/>
        </a:xfrm>
        <a:prstGeom prst="rect">
          <a:avLst/>
        </a:prstGeom>
      </xdr:spPr>
    </xdr:pic>
    <xdr:clientData/>
  </xdr:twoCellAnchor>
  <xdr:twoCellAnchor editAs="oneCell">
    <xdr:from>
      <xdr:col>0</xdr:col>
      <xdr:colOff>106045</xdr:colOff>
      <xdr:row>5</xdr:row>
      <xdr:rowOff>88900</xdr:rowOff>
    </xdr:from>
    <xdr:to>
      <xdr:col>0</xdr:col>
      <xdr:colOff>1020445</xdr:colOff>
      <xdr:row>5</xdr:row>
      <xdr:rowOff>949325</xdr:rowOff>
    </xdr:to>
    <xdr:pic>
      <xdr:nvPicPr>
        <xdr:cNvPr id="32" name="图片 31" descr="c60e69ce3494b597b32edbee4227f27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6045" y="4394200"/>
          <a:ext cx="914400" cy="860425"/>
        </a:xfrm>
        <a:prstGeom prst="rect">
          <a:avLst/>
        </a:prstGeom>
      </xdr:spPr>
    </xdr:pic>
    <xdr:clientData/>
  </xdr:twoCellAnchor>
  <xdr:twoCellAnchor editAs="oneCell">
    <xdr:from>
      <xdr:col>0</xdr:col>
      <xdr:colOff>161290</xdr:colOff>
      <xdr:row>6</xdr:row>
      <xdr:rowOff>99060</xdr:rowOff>
    </xdr:from>
    <xdr:to>
      <xdr:col>0</xdr:col>
      <xdr:colOff>1000760</xdr:colOff>
      <xdr:row>6</xdr:row>
      <xdr:rowOff>904875</xdr:rowOff>
    </xdr:to>
    <xdr:pic>
      <xdr:nvPicPr>
        <xdr:cNvPr id="33" name="图片 32" descr="3076e0819b20fa9dab40539e894e1a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1290" y="5369560"/>
          <a:ext cx="839470" cy="805815"/>
        </a:xfrm>
        <a:prstGeom prst="rect">
          <a:avLst/>
        </a:prstGeom>
      </xdr:spPr>
    </xdr:pic>
    <xdr:clientData/>
  </xdr:twoCellAnchor>
  <xdr:twoCellAnchor editAs="oneCell">
    <xdr:from>
      <xdr:col>0</xdr:col>
      <xdr:colOff>181610</xdr:colOff>
      <xdr:row>8</xdr:row>
      <xdr:rowOff>76200</xdr:rowOff>
    </xdr:from>
    <xdr:to>
      <xdr:col>0</xdr:col>
      <xdr:colOff>1075690</xdr:colOff>
      <xdr:row>8</xdr:row>
      <xdr:rowOff>946150</xdr:rowOff>
    </xdr:to>
    <xdr:pic>
      <xdr:nvPicPr>
        <xdr:cNvPr id="34" name="图片 33" descr="227a7e78d1af890813e4637cf3e65c5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1610" y="7277100"/>
          <a:ext cx="894080" cy="869950"/>
        </a:xfrm>
        <a:prstGeom prst="rect">
          <a:avLst/>
        </a:prstGeom>
      </xdr:spPr>
    </xdr:pic>
    <xdr:clientData/>
  </xdr:twoCellAnchor>
  <xdr:twoCellAnchor editAs="oneCell">
    <xdr:from>
      <xdr:col>0</xdr:col>
      <xdr:colOff>106045</xdr:colOff>
      <xdr:row>9</xdr:row>
      <xdr:rowOff>57150</xdr:rowOff>
    </xdr:from>
    <xdr:to>
      <xdr:col>0</xdr:col>
      <xdr:colOff>1038860</xdr:colOff>
      <xdr:row>10</xdr:row>
      <xdr:rowOff>0</xdr:rowOff>
    </xdr:to>
    <xdr:pic>
      <xdr:nvPicPr>
        <xdr:cNvPr id="35" name="图片 34" descr="f185e36d38d87c3aa7342736701767b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6045" y="8223250"/>
          <a:ext cx="932815" cy="908050"/>
        </a:xfrm>
        <a:prstGeom prst="rect">
          <a:avLst/>
        </a:prstGeom>
      </xdr:spPr>
    </xdr:pic>
    <xdr:clientData/>
  </xdr:twoCellAnchor>
  <xdr:twoCellAnchor editAs="oneCell">
    <xdr:from>
      <xdr:col>0</xdr:col>
      <xdr:colOff>114935</xdr:colOff>
      <xdr:row>10</xdr:row>
      <xdr:rowOff>25400</xdr:rowOff>
    </xdr:from>
    <xdr:to>
      <xdr:col>0</xdr:col>
      <xdr:colOff>981710</xdr:colOff>
      <xdr:row>10</xdr:row>
      <xdr:rowOff>962025</xdr:rowOff>
    </xdr:to>
    <xdr:pic>
      <xdr:nvPicPr>
        <xdr:cNvPr id="36" name="图片 35" descr="f37d5e4634e7fdd4f12453bd971b28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4935" y="9156700"/>
          <a:ext cx="866775" cy="936625"/>
        </a:xfrm>
        <a:prstGeom prst="rect">
          <a:avLst/>
        </a:prstGeom>
      </xdr:spPr>
    </xdr:pic>
    <xdr:clientData/>
  </xdr:twoCellAnchor>
  <xdr:twoCellAnchor editAs="oneCell">
    <xdr:from>
      <xdr:col>0</xdr:col>
      <xdr:colOff>147320</xdr:colOff>
      <xdr:row>11</xdr:row>
      <xdr:rowOff>56515</xdr:rowOff>
    </xdr:from>
    <xdr:to>
      <xdr:col>0</xdr:col>
      <xdr:colOff>925830</xdr:colOff>
      <xdr:row>11</xdr:row>
      <xdr:rowOff>958850</xdr:rowOff>
    </xdr:to>
    <xdr:pic>
      <xdr:nvPicPr>
        <xdr:cNvPr id="37" name="图片 36" descr="6081fe88455d80d86e0f8032e9ccb72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7320" y="10153015"/>
          <a:ext cx="778510" cy="902335"/>
        </a:xfrm>
        <a:prstGeom prst="rect">
          <a:avLst/>
        </a:prstGeom>
      </xdr:spPr>
    </xdr:pic>
    <xdr:clientData/>
  </xdr:twoCellAnchor>
  <xdr:twoCellAnchor editAs="oneCell">
    <xdr:from>
      <xdr:col>0</xdr:col>
      <xdr:colOff>57785</xdr:colOff>
      <xdr:row>12</xdr:row>
      <xdr:rowOff>135255</xdr:rowOff>
    </xdr:from>
    <xdr:to>
      <xdr:col>1</xdr:col>
      <xdr:colOff>0</xdr:colOff>
      <xdr:row>12</xdr:row>
      <xdr:rowOff>861060</xdr:rowOff>
    </xdr:to>
    <xdr:pic>
      <xdr:nvPicPr>
        <xdr:cNvPr id="38" name="图片 37" descr="8d5fc73413c8813b9df0ad1bd238cd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7785" y="11196955"/>
          <a:ext cx="1161415" cy="725805"/>
        </a:xfrm>
        <a:prstGeom prst="rect">
          <a:avLst/>
        </a:prstGeom>
      </xdr:spPr>
    </xdr:pic>
    <xdr:clientData/>
  </xdr:twoCellAnchor>
  <xdr:twoCellAnchor editAs="oneCell">
    <xdr:from>
      <xdr:col>0</xdr:col>
      <xdr:colOff>19685</xdr:colOff>
      <xdr:row>13</xdr:row>
      <xdr:rowOff>34290</xdr:rowOff>
    </xdr:from>
    <xdr:to>
      <xdr:col>1</xdr:col>
      <xdr:colOff>0</xdr:colOff>
      <xdr:row>13</xdr:row>
      <xdr:rowOff>822325</xdr:rowOff>
    </xdr:to>
    <xdr:pic>
      <xdr:nvPicPr>
        <xdr:cNvPr id="39" name="图片 38" descr="7dcda635f1fc62b8cef7b09f04f3c21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685" y="12061190"/>
          <a:ext cx="1199515" cy="788035"/>
        </a:xfrm>
        <a:prstGeom prst="rect">
          <a:avLst/>
        </a:prstGeom>
      </xdr:spPr>
    </xdr:pic>
    <xdr:clientData/>
  </xdr:twoCellAnchor>
  <xdr:twoCellAnchor editAs="oneCell">
    <xdr:from>
      <xdr:col>0</xdr:col>
      <xdr:colOff>153035</xdr:colOff>
      <xdr:row>14</xdr:row>
      <xdr:rowOff>38100</xdr:rowOff>
    </xdr:from>
    <xdr:to>
      <xdr:col>1</xdr:col>
      <xdr:colOff>0</xdr:colOff>
      <xdr:row>14</xdr:row>
      <xdr:rowOff>962025</xdr:rowOff>
    </xdr:to>
    <xdr:pic>
      <xdr:nvPicPr>
        <xdr:cNvPr id="40" name="图片 39" descr="ec1fb698423f84ae1425b38eed488e8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3035" y="13030200"/>
          <a:ext cx="1066165" cy="923925"/>
        </a:xfrm>
        <a:prstGeom prst="rect">
          <a:avLst/>
        </a:prstGeom>
      </xdr:spPr>
    </xdr:pic>
    <xdr:clientData/>
  </xdr:twoCellAnchor>
  <xdr:twoCellAnchor editAs="oneCell">
    <xdr:from>
      <xdr:col>0</xdr:col>
      <xdr:colOff>210185</xdr:colOff>
      <xdr:row>15</xdr:row>
      <xdr:rowOff>85725</xdr:rowOff>
    </xdr:from>
    <xdr:to>
      <xdr:col>1</xdr:col>
      <xdr:colOff>10160</xdr:colOff>
      <xdr:row>15</xdr:row>
      <xdr:rowOff>946150</xdr:rowOff>
    </xdr:to>
    <xdr:pic>
      <xdr:nvPicPr>
        <xdr:cNvPr id="41" name="图片 40" descr="47ed8e8b1c44b8cdd44ad51ccb7eb44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0185" y="14043025"/>
          <a:ext cx="1019175" cy="860425"/>
        </a:xfrm>
        <a:prstGeom prst="rect">
          <a:avLst/>
        </a:prstGeom>
      </xdr:spPr>
    </xdr:pic>
    <xdr:clientData/>
  </xdr:twoCellAnchor>
  <xdr:twoCellAnchor editAs="oneCell">
    <xdr:from>
      <xdr:col>0</xdr:col>
      <xdr:colOff>86360</xdr:colOff>
      <xdr:row>16</xdr:row>
      <xdr:rowOff>57150</xdr:rowOff>
    </xdr:from>
    <xdr:to>
      <xdr:col>0</xdr:col>
      <xdr:colOff>1076960</xdr:colOff>
      <xdr:row>17</xdr:row>
      <xdr:rowOff>0</xdr:rowOff>
    </xdr:to>
    <xdr:pic>
      <xdr:nvPicPr>
        <xdr:cNvPr id="42" name="图片 41" descr="2d0ebed3626bacb7a7f70859f80ee7d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6360" y="14979650"/>
          <a:ext cx="990600" cy="908050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17</xdr:row>
      <xdr:rowOff>97790</xdr:rowOff>
    </xdr:from>
    <xdr:to>
      <xdr:col>0</xdr:col>
      <xdr:colOff>1048385</xdr:colOff>
      <xdr:row>17</xdr:row>
      <xdr:rowOff>952500</xdr:rowOff>
    </xdr:to>
    <xdr:pic>
      <xdr:nvPicPr>
        <xdr:cNvPr id="43" name="图片 42" descr="6ed5d1fd15f10159473c2b36421f565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9075" y="15985490"/>
          <a:ext cx="829310" cy="854710"/>
        </a:xfrm>
        <a:prstGeom prst="rect">
          <a:avLst/>
        </a:prstGeom>
      </xdr:spPr>
    </xdr:pic>
    <xdr:clientData/>
  </xdr:twoCellAnchor>
  <xdr:twoCellAnchor editAs="oneCell">
    <xdr:from>
      <xdr:col>0</xdr:col>
      <xdr:colOff>182245</xdr:colOff>
      <xdr:row>18</xdr:row>
      <xdr:rowOff>69850</xdr:rowOff>
    </xdr:from>
    <xdr:to>
      <xdr:col>0</xdr:col>
      <xdr:colOff>1011555</xdr:colOff>
      <xdr:row>18</xdr:row>
      <xdr:rowOff>924560</xdr:rowOff>
    </xdr:to>
    <xdr:pic>
      <xdr:nvPicPr>
        <xdr:cNvPr id="44" name="图片 43" descr="6ed5d1fd15f10159473c2b36421f565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82245" y="16922750"/>
          <a:ext cx="829310" cy="854710"/>
        </a:xfrm>
        <a:prstGeom prst="rect">
          <a:avLst/>
        </a:prstGeom>
      </xdr:spPr>
    </xdr:pic>
    <xdr:clientData/>
  </xdr:twoCellAnchor>
  <xdr:twoCellAnchor editAs="oneCell">
    <xdr:from>
      <xdr:col>0</xdr:col>
      <xdr:colOff>219710</xdr:colOff>
      <xdr:row>19</xdr:row>
      <xdr:rowOff>39370</xdr:rowOff>
    </xdr:from>
    <xdr:to>
      <xdr:col>0</xdr:col>
      <xdr:colOff>1096010</xdr:colOff>
      <xdr:row>19</xdr:row>
      <xdr:rowOff>942975</xdr:rowOff>
    </xdr:to>
    <xdr:pic>
      <xdr:nvPicPr>
        <xdr:cNvPr id="45" name="图片 44" descr="26bdb1fc6a57e440f438d362e1df763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9710" y="17857470"/>
          <a:ext cx="876300" cy="903605"/>
        </a:xfrm>
        <a:prstGeom prst="rect">
          <a:avLst/>
        </a:prstGeom>
      </xdr:spPr>
    </xdr:pic>
    <xdr:clientData/>
  </xdr:twoCellAnchor>
  <xdr:twoCellAnchor editAs="oneCell">
    <xdr:from>
      <xdr:col>0</xdr:col>
      <xdr:colOff>180340</xdr:colOff>
      <xdr:row>20</xdr:row>
      <xdr:rowOff>62230</xdr:rowOff>
    </xdr:from>
    <xdr:to>
      <xdr:col>0</xdr:col>
      <xdr:colOff>971550</xdr:colOff>
      <xdr:row>20</xdr:row>
      <xdr:rowOff>875030</xdr:rowOff>
    </xdr:to>
    <xdr:pic>
      <xdr:nvPicPr>
        <xdr:cNvPr id="46" name="图片 45" descr="26bdb1fc6a57e440f438d362e1df763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80340" y="18845530"/>
          <a:ext cx="791210" cy="812800"/>
        </a:xfrm>
        <a:prstGeom prst="rect">
          <a:avLst/>
        </a:prstGeom>
      </xdr:spPr>
    </xdr:pic>
    <xdr:clientData/>
  </xdr:twoCellAnchor>
  <xdr:twoCellAnchor editAs="oneCell">
    <xdr:from>
      <xdr:col>0</xdr:col>
      <xdr:colOff>181610</xdr:colOff>
      <xdr:row>23</xdr:row>
      <xdr:rowOff>66675</xdr:rowOff>
    </xdr:from>
    <xdr:to>
      <xdr:col>0</xdr:col>
      <xdr:colOff>1057910</xdr:colOff>
      <xdr:row>23</xdr:row>
      <xdr:rowOff>946150</xdr:rowOff>
    </xdr:to>
    <xdr:pic>
      <xdr:nvPicPr>
        <xdr:cNvPr id="47" name="图片 46" descr="0f612e2e986d42a96ffc1f8ab3b3d7f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81610" y="21745575"/>
          <a:ext cx="876300" cy="879475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7</xdr:row>
      <xdr:rowOff>160020</xdr:rowOff>
    </xdr:from>
    <xdr:to>
      <xdr:col>0</xdr:col>
      <xdr:colOff>867410</xdr:colOff>
      <xdr:row>7</xdr:row>
      <xdr:rowOff>822960</xdr:rowOff>
    </xdr:to>
    <xdr:pic>
      <xdr:nvPicPr>
        <xdr:cNvPr id="2" name="图片 1" descr="a871ff742438549bb81bd3beee8d9fb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7640" y="6395720"/>
          <a:ext cx="699770" cy="662940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21</xdr:row>
      <xdr:rowOff>121920</xdr:rowOff>
    </xdr:from>
    <xdr:to>
      <xdr:col>0</xdr:col>
      <xdr:colOff>967105</xdr:colOff>
      <xdr:row>21</xdr:row>
      <xdr:rowOff>875030</xdr:rowOff>
    </xdr:to>
    <xdr:pic>
      <xdr:nvPicPr>
        <xdr:cNvPr id="3" name="图片 2" descr="1ab751c35901f7287b3ede6359bf01b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7640" y="19870420"/>
          <a:ext cx="799465" cy="753110"/>
        </a:xfrm>
        <a:prstGeom prst="rect">
          <a:avLst/>
        </a:prstGeom>
      </xdr:spPr>
    </xdr:pic>
    <xdr:clientData/>
  </xdr:twoCellAnchor>
  <xdr:twoCellAnchor editAs="oneCell">
    <xdr:from>
      <xdr:col>0</xdr:col>
      <xdr:colOff>121920</xdr:colOff>
      <xdr:row>22</xdr:row>
      <xdr:rowOff>99060</xdr:rowOff>
    </xdr:from>
    <xdr:to>
      <xdr:col>0</xdr:col>
      <xdr:colOff>914400</xdr:colOff>
      <xdr:row>22</xdr:row>
      <xdr:rowOff>907415</xdr:rowOff>
    </xdr:to>
    <xdr:pic>
      <xdr:nvPicPr>
        <xdr:cNvPr id="4" name="图片 3" descr="4f85fe7871bd995ecccff02a29b5efd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1920" y="20812760"/>
          <a:ext cx="792480" cy="8083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OSS001\Documents\WeChat%20Files\wxid_92y6d72cx4p312\FileStorage\File\2024-08\2024&#26032;&#27431;&#24335;BOM&#34920;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础信息"/>
      <sheetName val="BOM表"/>
      <sheetName val="成本预算"/>
      <sheetName val="订单录入"/>
      <sheetName val="自动分解表单"/>
      <sheetName val="注塑计划生成"/>
      <sheetName val="采购计划生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topLeftCell="A33" workbookViewId="0">
      <selection activeCell="A36" sqref="A36:I36"/>
    </sheetView>
  </sheetViews>
  <sheetFormatPr defaultColWidth="9" defaultRowHeight="13.8"/>
  <cols>
    <col min="1" max="1" width="16" style="1" customWidth="1"/>
    <col min="2" max="2" width="14.88671875" style="1" customWidth="1"/>
    <col min="3" max="3" width="29.109375" style="1" customWidth="1"/>
    <col min="4" max="4" width="29.88671875" style="1" customWidth="1"/>
    <col min="5" max="5" width="13.88671875" style="1" customWidth="1"/>
    <col min="6" max="6" width="15.88671875" style="2" customWidth="1"/>
    <col min="7" max="7" width="15.88671875" style="3" customWidth="1"/>
    <col min="8" max="8" width="15.88671875" style="2" customWidth="1"/>
    <col min="9" max="9" width="15.88671875" style="3" customWidth="1"/>
    <col min="10" max="16384" width="9" style="1"/>
  </cols>
  <sheetData>
    <row r="1" spans="1:12" ht="52.95" customHeight="1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</row>
    <row r="2" spans="1:12" ht="58.05" customHeight="1">
      <c r="A2" s="4" t="s">
        <v>1</v>
      </c>
      <c r="B2" s="5" t="s">
        <v>2</v>
      </c>
      <c r="C2" s="6" t="s">
        <v>3</v>
      </c>
      <c r="D2" s="6" t="s">
        <v>4</v>
      </c>
      <c r="E2" s="7" t="s">
        <v>5</v>
      </c>
      <c r="F2" s="8" t="s">
        <v>6</v>
      </c>
      <c r="G2" s="9" t="s">
        <v>7</v>
      </c>
      <c r="H2" s="8" t="s">
        <v>8</v>
      </c>
      <c r="I2" s="40" t="s">
        <v>9</v>
      </c>
      <c r="J2" s="5" t="s">
        <v>10</v>
      </c>
      <c r="K2" s="5" t="s">
        <v>11</v>
      </c>
      <c r="L2" s="5" t="s">
        <v>12</v>
      </c>
    </row>
    <row r="3" spans="1:12" ht="76.05" customHeight="1">
      <c r="A3" s="10"/>
      <c r="B3" s="11" t="s">
        <v>13</v>
      </c>
      <c r="C3" s="10" t="s">
        <v>14</v>
      </c>
      <c r="D3" s="12" t="s">
        <v>15</v>
      </c>
      <c r="E3" s="13">
        <v>100</v>
      </c>
      <c r="F3" s="14">
        <f>2.5+0.65</f>
        <v>3.15</v>
      </c>
      <c r="G3" s="15">
        <f t="shared" ref="G3:G8" si="0">F3/7.1</f>
        <v>0.44366197183098599</v>
      </c>
      <c r="H3" s="14">
        <f>2.9+1.05</f>
        <v>3.95</v>
      </c>
      <c r="I3" s="41">
        <f t="shared" ref="I3:I8" si="1">H3/7.1</f>
        <v>0.55633802816901401</v>
      </c>
      <c r="J3" s="16">
        <v>47.5</v>
      </c>
      <c r="K3" s="16">
        <v>38</v>
      </c>
      <c r="L3" s="16">
        <v>21.2</v>
      </c>
    </row>
    <row r="4" spans="1:12" ht="76.05" customHeight="1">
      <c r="A4" s="16"/>
      <c r="B4" s="17" t="s">
        <v>16</v>
      </c>
      <c r="C4" s="16" t="s">
        <v>17</v>
      </c>
      <c r="D4" s="18" t="s">
        <v>18</v>
      </c>
      <c r="E4" s="19">
        <v>100</v>
      </c>
      <c r="F4" s="20">
        <f>2.7+0.65</f>
        <v>3.35</v>
      </c>
      <c r="G4" s="15">
        <f t="shared" si="0"/>
        <v>0.471830985915493</v>
      </c>
      <c r="H4" s="20">
        <f>3.1+1.05</f>
        <v>4.1500000000000004</v>
      </c>
      <c r="I4" s="41">
        <f t="shared" si="1"/>
        <v>0.58450704225352101</v>
      </c>
      <c r="J4" s="16">
        <v>47.5</v>
      </c>
      <c r="K4" s="16">
        <v>38</v>
      </c>
      <c r="L4" s="16">
        <v>21.2</v>
      </c>
    </row>
    <row r="5" spans="1:12" ht="76.05" customHeight="1">
      <c r="A5" s="16"/>
      <c r="B5" s="17" t="s">
        <v>19</v>
      </c>
      <c r="C5" s="16" t="s">
        <v>20</v>
      </c>
      <c r="D5" s="18" t="s">
        <v>21</v>
      </c>
      <c r="E5" s="19">
        <v>100</v>
      </c>
      <c r="F5" s="20">
        <f>3.15+0.65</f>
        <v>3.8</v>
      </c>
      <c r="G5" s="15">
        <f t="shared" si="0"/>
        <v>0.53521126760563398</v>
      </c>
      <c r="H5" s="21">
        <f>3.75+1.05</f>
        <v>4.8</v>
      </c>
      <c r="I5" s="41">
        <f t="shared" si="1"/>
        <v>0.676056338028169</v>
      </c>
      <c r="J5" s="16">
        <v>47.5</v>
      </c>
      <c r="K5" s="16">
        <v>38</v>
      </c>
      <c r="L5" s="16">
        <v>21.2</v>
      </c>
    </row>
    <row r="6" spans="1:12" ht="76.05" customHeight="1">
      <c r="A6" s="16"/>
      <c r="B6" s="17" t="s">
        <v>22</v>
      </c>
      <c r="C6" s="16" t="s">
        <v>23</v>
      </c>
      <c r="D6" s="18" t="s">
        <v>24</v>
      </c>
      <c r="E6" s="19">
        <v>100</v>
      </c>
      <c r="F6" s="20">
        <f>3.7+0.65</f>
        <v>4.3499999999999996</v>
      </c>
      <c r="G6" s="15">
        <f t="shared" si="0"/>
        <v>0.61267605633802802</v>
      </c>
      <c r="H6" s="21">
        <f>4.3+1.05</f>
        <v>5.35</v>
      </c>
      <c r="I6" s="41">
        <f t="shared" si="1"/>
        <v>0.75352112676056304</v>
      </c>
      <c r="J6" s="16">
        <v>47.5</v>
      </c>
      <c r="K6" s="16">
        <v>38</v>
      </c>
      <c r="L6" s="16">
        <v>21.2</v>
      </c>
    </row>
    <row r="7" spans="1:12" ht="76.05" customHeight="1">
      <c r="A7" s="16"/>
      <c r="B7" s="17" t="s">
        <v>25</v>
      </c>
      <c r="C7" s="16" t="s">
        <v>26</v>
      </c>
      <c r="D7" s="22" t="s">
        <v>27</v>
      </c>
      <c r="E7" s="23">
        <v>100</v>
      </c>
      <c r="F7" s="20">
        <f>3.8+0.65</f>
        <v>4.45</v>
      </c>
      <c r="G7" s="15">
        <f t="shared" si="0"/>
        <v>0.62676056338028197</v>
      </c>
      <c r="H7" s="21">
        <f>4.6+1.05</f>
        <v>5.65</v>
      </c>
      <c r="I7" s="41">
        <f t="shared" si="1"/>
        <v>0.79577464788732399</v>
      </c>
      <c r="J7" s="16">
        <v>47.5</v>
      </c>
      <c r="K7" s="16">
        <v>38</v>
      </c>
      <c r="L7" s="16">
        <v>21.2</v>
      </c>
    </row>
    <row r="8" spans="1:12" ht="76.05" customHeight="1">
      <c r="A8" s="16"/>
      <c r="B8" s="17" t="s">
        <v>28</v>
      </c>
      <c r="C8" s="16" t="s">
        <v>29</v>
      </c>
      <c r="D8" s="22" t="s">
        <v>30</v>
      </c>
      <c r="E8" s="23">
        <v>100</v>
      </c>
      <c r="F8" s="20">
        <f>2.7+0.65</f>
        <v>3.35</v>
      </c>
      <c r="G8" s="15">
        <f t="shared" si="0"/>
        <v>0.471830985915493</v>
      </c>
      <c r="H8" s="20">
        <f>3.1+1.05</f>
        <v>4.1500000000000004</v>
      </c>
      <c r="I8" s="41">
        <f t="shared" si="1"/>
        <v>0.58450704225352101</v>
      </c>
      <c r="J8" s="16">
        <v>47.5</v>
      </c>
      <c r="K8" s="16">
        <v>38</v>
      </c>
      <c r="L8" s="16">
        <v>21.2</v>
      </c>
    </row>
    <row r="9" spans="1:12" ht="76.05" customHeight="1">
      <c r="A9" s="16"/>
      <c r="B9" s="17" t="s">
        <v>31</v>
      </c>
      <c r="C9" s="16" t="s">
        <v>32</v>
      </c>
      <c r="D9" s="18" t="s">
        <v>33</v>
      </c>
      <c r="E9" s="19">
        <v>100</v>
      </c>
      <c r="F9" s="20">
        <f>3.7+0.65</f>
        <v>4.3499999999999996</v>
      </c>
      <c r="G9" s="15">
        <f t="shared" ref="G9:G24" si="2">F9/7.1</f>
        <v>0.61267605633802802</v>
      </c>
      <c r="H9" s="20">
        <f>4.1+1.05</f>
        <v>5.15</v>
      </c>
      <c r="I9" s="41">
        <f t="shared" ref="I9:I24" si="3">H9/7.1</f>
        <v>0.72535211267605604</v>
      </c>
      <c r="J9" s="16">
        <v>47.5</v>
      </c>
      <c r="K9" s="16">
        <v>38</v>
      </c>
      <c r="L9" s="16">
        <v>21.2</v>
      </c>
    </row>
    <row r="10" spans="1:12" ht="76.05" customHeight="1">
      <c r="A10" s="16"/>
      <c r="B10" s="17" t="s">
        <v>34</v>
      </c>
      <c r="C10" s="16" t="s">
        <v>35</v>
      </c>
      <c r="D10" s="18" t="s">
        <v>36</v>
      </c>
      <c r="E10" s="19">
        <v>100</v>
      </c>
      <c r="F10" s="20">
        <f>3+0.65</f>
        <v>3.65</v>
      </c>
      <c r="G10" s="15">
        <f t="shared" si="2"/>
        <v>0.51408450704225395</v>
      </c>
      <c r="H10" s="20">
        <f>3.4+1.05</f>
        <v>4.45</v>
      </c>
      <c r="I10" s="41">
        <f t="shared" si="3"/>
        <v>0.62676056338028197</v>
      </c>
      <c r="J10" s="16">
        <v>47.5</v>
      </c>
      <c r="K10" s="16">
        <v>38</v>
      </c>
      <c r="L10" s="16">
        <v>21.2</v>
      </c>
    </row>
    <row r="11" spans="1:12" ht="76.05" customHeight="1">
      <c r="A11" s="16"/>
      <c r="B11" s="17" t="s">
        <v>37</v>
      </c>
      <c r="C11" s="16" t="s">
        <v>38</v>
      </c>
      <c r="D11" s="18" t="s">
        <v>39</v>
      </c>
      <c r="E11" s="19">
        <v>80</v>
      </c>
      <c r="F11" s="20">
        <f>3.9+0.65</f>
        <v>4.55</v>
      </c>
      <c r="G11" s="15">
        <f t="shared" si="2"/>
        <v>0.64084507042253502</v>
      </c>
      <c r="H11" s="20">
        <f>4.4+1.05</f>
        <v>5.45</v>
      </c>
      <c r="I11" s="41">
        <f t="shared" si="3"/>
        <v>0.76760563380281699</v>
      </c>
      <c r="J11" s="16">
        <v>47.5</v>
      </c>
      <c r="K11" s="16">
        <v>38</v>
      </c>
      <c r="L11" s="16">
        <v>21.2</v>
      </c>
    </row>
    <row r="12" spans="1:12" ht="76.05" customHeight="1">
      <c r="A12" s="16"/>
      <c r="B12" s="17" t="s">
        <v>40</v>
      </c>
      <c r="C12" s="16" t="s">
        <v>41</v>
      </c>
      <c r="D12" s="18" t="s">
        <v>42</v>
      </c>
      <c r="E12" s="19">
        <v>80</v>
      </c>
      <c r="F12" s="20">
        <f>3.2+0.65</f>
        <v>3.85</v>
      </c>
      <c r="G12" s="15">
        <f t="shared" si="2"/>
        <v>0.54225352112676095</v>
      </c>
      <c r="H12" s="20">
        <f>3.7+1.05</f>
        <v>4.75</v>
      </c>
      <c r="I12" s="41">
        <f t="shared" si="3"/>
        <v>0.66901408450704203</v>
      </c>
      <c r="J12" s="16">
        <v>47.5</v>
      </c>
      <c r="K12" s="16">
        <v>38</v>
      </c>
      <c r="L12" s="16">
        <v>21.2</v>
      </c>
    </row>
    <row r="13" spans="1:12" ht="76.05" customHeight="1">
      <c r="A13" s="16"/>
      <c r="B13" s="17" t="s">
        <v>43</v>
      </c>
      <c r="C13" s="16" t="s">
        <v>44</v>
      </c>
      <c r="D13" s="24" t="s">
        <v>45</v>
      </c>
      <c r="E13" s="21">
        <v>50</v>
      </c>
      <c r="F13" s="20">
        <f>5+1.25</f>
        <v>6.25</v>
      </c>
      <c r="G13" s="15">
        <f t="shared" si="2"/>
        <v>0.88028169014084501</v>
      </c>
      <c r="H13" s="20">
        <f>6+2.15</f>
        <v>8.15</v>
      </c>
      <c r="I13" s="41">
        <f t="shared" si="3"/>
        <v>1.14788732394366</v>
      </c>
      <c r="J13" s="16">
        <v>47.5</v>
      </c>
      <c r="K13" s="16">
        <v>38</v>
      </c>
      <c r="L13" s="16">
        <v>21.2</v>
      </c>
    </row>
    <row r="14" spans="1:12" ht="76.05" customHeight="1">
      <c r="A14" s="16"/>
      <c r="B14" s="17" t="s">
        <v>46</v>
      </c>
      <c r="C14" s="16" t="s">
        <v>47</v>
      </c>
      <c r="D14" s="24" t="s">
        <v>48</v>
      </c>
      <c r="E14" s="21">
        <v>50</v>
      </c>
      <c r="F14" s="20">
        <f>4+1.25</f>
        <v>5.25</v>
      </c>
      <c r="G14" s="15">
        <f t="shared" si="2"/>
        <v>0.73943661971830998</v>
      </c>
      <c r="H14" s="20">
        <f>5+2.15</f>
        <v>7.15</v>
      </c>
      <c r="I14" s="41">
        <f t="shared" si="3"/>
        <v>1.0070422535211301</v>
      </c>
      <c r="J14" s="16">
        <v>47.5</v>
      </c>
      <c r="K14" s="16">
        <v>38</v>
      </c>
      <c r="L14" s="16">
        <v>21.2</v>
      </c>
    </row>
    <row r="15" spans="1:12" ht="76.05" customHeight="1">
      <c r="A15" s="16"/>
      <c r="B15" s="17" t="s">
        <v>49</v>
      </c>
      <c r="C15" s="16" t="s">
        <v>50</v>
      </c>
      <c r="D15" s="18" t="s">
        <v>51</v>
      </c>
      <c r="E15" s="19">
        <v>100</v>
      </c>
      <c r="F15" s="20">
        <f>2.3+0.65</f>
        <v>2.95</v>
      </c>
      <c r="G15" s="15">
        <f t="shared" si="2"/>
        <v>0.41549295774647899</v>
      </c>
      <c r="H15" s="20">
        <f>2.7+1.05</f>
        <v>3.75</v>
      </c>
      <c r="I15" s="41">
        <f t="shared" si="3"/>
        <v>0.528169014084507</v>
      </c>
      <c r="J15" s="16">
        <v>47.5</v>
      </c>
      <c r="K15" s="16">
        <v>38</v>
      </c>
      <c r="L15" s="16">
        <v>21.2</v>
      </c>
    </row>
    <row r="16" spans="1:12" ht="76.05" customHeight="1">
      <c r="A16" s="16"/>
      <c r="B16" s="17" t="s">
        <v>52</v>
      </c>
      <c r="C16" s="16" t="s">
        <v>53</v>
      </c>
      <c r="D16" s="18" t="s">
        <v>54</v>
      </c>
      <c r="E16" s="19">
        <v>100</v>
      </c>
      <c r="F16" s="20">
        <f>2.5+0.65</f>
        <v>3.15</v>
      </c>
      <c r="G16" s="15">
        <f t="shared" si="2"/>
        <v>0.44366197183098599</v>
      </c>
      <c r="H16" s="20">
        <f>2.9+1.05</f>
        <v>3.95</v>
      </c>
      <c r="I16" s="41">
        <f t="shared" si="3"/>
        <v>0.55633802816901401</v>
      </c>
      <c r="J16" s="16">
        <v>47.5</v>
      </c>
      <c r="K16" s="16">
        <v>38</v>
      </c>
      <c r="L16" s="16">
        <v>21.2</v>
      </c>
    </row>
    <row r="17" spans="1:12" ht="76.05" customHeight="1">
      <c r="A17" s="16"/>
      <c r="B17" s="17" t="s">
        <v>55</v>
      </c>
      <c r="C17" s="16" t="s">
        <v>56</v>
      </c>
      <c r="D17" s="18" t="s">
        <v>57</v>
      </c>
      <c r="E17" s="19">
        <v>100</v>
      </c>
      <c r="F17" s="20">
        <f>3.3+0.65</f>
        <v>3.95</v>
      </c>
      <c r="G17" s="15">
        <f t="shared" si="2"/>
        <v>0.55633802816901401</v>
      </c>
      <c r="H17" s="20">
        <f>3.7+1.05</f>
        <v>4.75</v>
      </c>
      <c r="I17" s="41">
        <f t="shared" si="3"/>
        <v>0.66901408450704203</v>
      </c>
      <c r="J17" s="16">
        <v>47.5</v>
      </c>
      <c r="K17" s="16">
        <v>38</v>
      </c>
      <c r="L17" s="16">
        <v>21.2</v>
      </c>
    </row>
    <row r="18" spans="1:12" ht="76.05" customHeight="1">
      <c r="A18" s="16"/>
      <c r="B18" s="17" t="s">
        <v>58</v>
      </c>
      <c r="C18" s="16" t="s">
        <v>59</v>
      </c>
      <c r="D18" s="18" t="s">
        <v>60</v>
      </c>
      <c r="E18" s="19">
        <v>100</v>
      </c>
      <c r="F18" s="20">
        <f>3.9+0.65</f>
        <v>4.55</v>
      </c>
      <c r="G18" s="15">
        <f t="shared" si="2"/>
        <v>0.64084507042253502</v>
      </c>
      <c r="H18" s="20">
        <f>4.3+1.05</f>
        <v>5.35</v>
      </c>
      <c r="I18" s="41">
        <f t="shared" si="3"/>
        <v>0.75352112676056304</v>
      </c>
      <c r="J18" s="16">
        <v>47.5</v>
      </c>
      <c r="K18" s="16">
        <v>38</v>
      </c>
      <c r="L18" s="16">
        <v>21.2</v>
      </c>
    </row>
    <row r="19" spans="1:12" ht="76.05" customHeight="1">
      <c r="A19" s="16"/>
      <c r="B19" s="17" t="s">
        <v>61</v>
      </c>
      <c r="C19" s="16" t="s">
        <v>62</v>
      </c>
      <c r="D19" s="18" t="s">
        <v>63</v>
      </c>
      <c r="E19" s="19">
        <v>100</v>
      </c>
      <c r="F19" s="20">
        <f>4.25+0.65</f>
        <v>4.9000000000000004</v>
      </c>
      <c r="G19" s="15">
        <f t="shared" si="2"/>
        <v>0.69014084507042295</v>
      </c>
      <c r="H19" s="20">
        <f>4.65+1.05</f>
        <v>5.7</v>
      </c>
      <c r="I19" s="41">
        <f t="shared" si="3"/>
        <v>0.80281690140845097</v>
      </c>
      <c r="J19" s="16">
        <v>47.5</v>
      </c>
      <c r="K19" s="16">
        <v>38</v>
      </c>
      <c r="L19" s="16">
        <v>21.2</v>
      </c>
    </row>
    <row r="20" spans="1:12" ht="76.05" customHeight="1">
      <c r="A20" s="16"/>
      <c r="B20" s="17" t="s">
        <v>64</v>
      </c>
      <c r="C20" s="16" t="s">
        <v>65</v>
      </c>
      <c r="D20" s="18" t="s">
        <v>66</v>
      </c>
      <c r="E20" s="19">
        <v>100</v>
      </c>
      <c r="F20" s="20">
        <f>4.25+0.65</f>
        <v>4.9000000000000004</v>
      </c>
      <c r="G20" s="15">
        <f t="shared" si="2"/>
        <v>0.69014084507042295</v>
      </c>
      <c r="H20" s="20">
        <f>4.65+1.05</f>
        <v>5.7</v>
      </c>
      <c r="I20" s="41">
        <f t="shared" si="3"/>
        <v>0.80281690140845097</v>
      </c>
      <c r="J20" s="16">
        <v>47.5</v>
      </c>
      <c r="K20" s="16">
        <v>38</v>
      </c>
      <c r="L20" s="16">
        <v>21.2</v>
      </c>
    </row>
    <row r="21" spans="1:12" ht="76.05" customHeight="1">
      <c r="A21" s="16"/>
      <c r="B21" s="17" t="s">
        <v>67</v>
      </c>
      <c r="C21" s="16" t="s">
        <v>68</v>
      </c>
      <c r="D21" s="18" t="s">
        <v>69</v>
      </c>
      <c r="E21" s="19">
        <v>100</v>
      </c>
      <c r="F21" s="20">
        <f>4.6+0.65</f>
        <v>5.25</v>
      </c>
      <c r="G21" s="15">
        <f t="shared" si="2"/>
        <v>0.73943661971830998</v>
      </c>
      <c r="H21" s="20">
        <f>5+1.05</f>
        <v>6.05</v>
      </c>
      <c r="I21" s="41">
        <f t="shared" si="3"/>
        <v>0.852112676056338</v>
      </c>
      <c r="J21" s="16">
        <v>47.5</v>
      </c>
      <c r="K21" s="16">
        <v>38</v>
      </c>
      <c r="L21" s="16">
        <v>21.2</v>
      </c>
    </row>
    <row r="22" spans="1:12" ht="76.05" customHeight="1">
      <c r="A22" s="25"/>
      <c r="B22" s="26" t="s">
        <v>70</v>
      </c>
      <c r="C22" s="25" t="s">
        <v>71</v>
      </c>
      <c r="D22" s="27" t="s">
        <v>72</v>
      </c>
      <c r="E22" s="28">
        <v>80</v>
      </c>
      <c r="F22" s="29">
        <v>9.59</v>
      </c>
      <c r="G22" s="15">
        <f t="shared" si="2"/>
        <v>1.35070422535211</v>
      </c>
      <c r="H22" s="29">
        <v>10.39</v>
      </c>
      <c r="I22" s="41">
        <f t="shared" si="3"/>
        <v>1.46338028169014</v>
      </c>
      <c r="J22" s="16">
        <v>47.5</v>
      </c>
      <c r="K22" s="16">
        <v>38</v>
      </c>
      <c r="L22" s="16">
        <v>21.2</v>
      </c>
    </row>
    <row r="23" spans="1:12" ht="76.05" customHeight="1">
      <c r="A23" s="25"/>
      <c r="B23" s="26" t="s">
        <v>73</v>
      </c>
      <c r="C23" s="25" t="s">
        <v>74</v>
      </c>
      <c r="D23" s="27" t="s">
        <v>75</v>
      </c>
      <c r="E23" s="28">
        <v>80</v>
      </c>
      <c r="F23" s="29">
        <v>9.59</v>
      </c>
      <c r="G23" s="15">
        <f t="shared" si="2"/>
        <v>1.35070422535211</v>
      </c>
      <c r="H23" s="29">
        <v>10.39</v>
      </c>
      <c r="I23" s="41">
        <f t="shared" si="3"/>
        <v>1.46338028169014</v>
      </c>
      <c r="J23" s="16">
        <v>47.5</v>
      </c>
      <c r="K23" s="16">
        <v>38</v>
      </c>
      <c r="L23" s="16">
        <v>21.2</v>
      </c>
    </row>
    <row r="24" spans="1:12" ht="76.05" customHeight="1">
      <c r="A24" s="25"/>
      <c r="B24" s="26" t="s">
        <v>76</v>
      </c>
      <c r="C24" s="25" t="s">
        <v>77</v>
      </c>
      <c r="D24" s="27" t="s">
        <v>78</v>
      </c>
      <c r="E24" s="28">
        <v>80</v>
      </c>
      <c r="F24" s="30">
        <f>15+0.65</f>
        <v>15.65</v>
      </c>
      <c r="G24" s="31">
        <f t="shared" si="2"/>
        <v>2.20422535211268</v>
      </c>
      <c r="H24" s="29">
        <f>15.4+1.05</f>
        <v>16.45</v>
      </c>
      <c r="I24" s="42">
        <f t="shared" si="3"/>
        <v>2.3169014084507</v>
      </c>
      <c r="J24" s="25">
        <v>47.5</v>
      </c>
      <c r="K24" s="25">
        <v>38</v>
      </c>
      <c r="L24" s="25">
        <v>21.2</v>
      </c>
    </row>
    <row r="25" spans="1:12" ht="33" customHeight="1">
      <c r="A25" s="47" t="s">
        <v>79</v>
      </c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</row>
    <row r="28" spans="1:12" ht="60" customHeight="1">
      <c r="A28" s="48" t="s">
        <v>80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40.950000000000003" customHeight="1">
      <c r="A29" s="32" t="s">
        <v>81</v>
      </c>
      <c r="B29" s="33" t="s">
        <v>2</v>
      </c>
      <c r="C29" s="34" t="s">
        <v>82</v>
      </c>
      <c r="D29" s="34" t="s">
        <v>83</v>
      </c>
      <c r="E29" s="34" t="s">
        <v>5</v>
      </c>
      <c r="F29" s="35" t="s">
        <v>6</v>
      </c>
      <c r="G29" s="36" t="s">
        <v>7</v>
      </c>
      <c r="H29" s="35" t="s">
        <v>8</v>
      </c>
      <c r="I29" s="43" t="s">
        <v>9</v>
      </c>
      <c r="J29" s="5" t="s">
        <v>10</v>
      </c>
      <c r="K29" s="5" t="s">
        <v>11</v>
      </c>
      <c r="L29" s="5" t="s">
        <v>12</v>
      </c>
    </row>
    <row r="30" spans="1:12" ht="58.05" customHeight="1">
      <c r="A30" s="37"/>
      <c r="B30" s="10" t="s">
        <v>84</v>
      </c>
      <c r="C30" s="10" t="s">
        <v>85</v>
      </c>
      <c r="D30" s="10" t="s">
        <v>86</v>
      </c>
      <c r="E30" s="10">
        <v>200</v>
      </c>
      <c r="F30" s="14">
        <v>0.65</v>
      </c>
      <c r="G30" s="15">
        <f t="shared" ref="G30:G35" si="4">F30/7.1</f>
        <v>9.1549295774647904E-2</v>
      </c>
      <c r="H30" s="14">
        <v>1.05</v>
      </c>
      <c r="I30" s="41">
        <f t="shared" ref="I30:I35" si="5">H30/7.1</f>
        <v>0.147887323943662</v>
      </c>
      <c r="J30" s="16">
        <v>47.5</v>
      </c>
      <c r="K30" s="16">
        <v>22</v>
      </c>
      <c r="L30" s="16">
        <v>18.5</v>
      </c>
    </row>
    <row r="31" spans="1:12" ht="58.05" customHeight="1">
      <c r="A31" s="38"/>
      <c r="B31" s="16" t="s">
        <v>87</v>
      </c>
      <c r="C31" s="16" t="s">
        <v>88</v>
      </c>
      <c r="D31" s="16" t="s">
        <v>89</v>
      </c>
      <c r="E31" s="16">
        <v>100</v>
      </c>
      <c r="F31" s="20">
        <v>1.3</v>
      </c>
      <c r="G31" s="15">
        <f t="shared" si="4"/>
        <v>0.183098591549296</v>
      </c>
      <c r="H31" s="20">
        <v>2.2999999999999998</v>
      </c>
      <c r="I31" s="41">
        <f t="shared" si="5"/>
        <v>0.323943661971831</v>
      </c>
      <c r="J31" s="16">
        <v>47.5</v>
      </c>
      <c r="K31" s="16">
        <v>22</v>
      </c>
      <c r="L31" s="16">
        <v>18.5</v>
      </c>
    </row>
    <row r="32" spans="1:12" ht="58.05" customHeight="1">
      <c r="A32" s="38"/>
      <c r="B32" s="16" t="s">
        <v>90</v>
      </c>
      <c r="C32" s="16" t="s">
        <v>91</v>
      </c>
      <c r="D32" s="16" t="s">
        <v>92</v>
      </c>
      <c r="E32" s="16">
        <v>100</v>
      </c>
      <c r="F32" s="20">
        <v>1.95</v>
      </c>
      <c r="G32" s="15">
        <f t="shared" si="4"/>
        <v>0.27464788732394402</v>
      </c>
      <c r="H32" s="20">
        <v>3.5</v>
      </c>
      <c r="I32" s="41">
        <f t="shared" si="5"/>
        <v>0.49295774647887303</v>
      </c>
      <c r="J32" s="16">
        <v>47.5</v>
      </c>
      <c r="K32" s="16">
        <v>22</v>
      </c>
      <c r="L32" s="16">
        <v>25.5</v>
      </c>
    </row>
    <row r="33" spans="1:12" ht="58.05" customHeight="1">
      <c r="A33" s="38"/>
      <c r="B33" s="16" t="s">
        <v>93</v>
      </c>
      <c r="C33" s="16" t="s">
        <v>94</v>
      </c>
      <c r="D33" s="16" t="s">
        <v>95</v>
      </c>
      <c r="E33" s="16">
        <v>100</v>
      </c>
      <c r="F33" s="20">
        <v>3</v>
      </c>
      <c r="G33" s="15">
        <f t="shared" si="4"/>
        <v>0.42253521126760601</v>
      </c>
      <c r="H33" s="20">
        <v>6</v>
      </c>
      <c r="I33" s="41">
        <f t="shared" si="5"/>
        <v>0.84507042253521103</v>
      </c>
      <c r="J33" s="16">
        <v>47.5</v>
      </c>
      <c r="K33" s="16">
        <v>22</v>
      </c>
      <c r="L33" s="16">
        <v>33</v>
      </c>
    </row>
    <row r="34" spans="1:12" ht="58.05" customHeight="1">
      <c r="A34" s="38"/>
      <c r="B34" s="16" t="s">
        <v>96</v>
      </c>
      <c r="C34" s="16" t="s">
        <v>97</v>
      </c>
      <c r="D34" s="16" t="s">
        <v>98</v>
      </c>
      <c r="E34" s="16">
        <v>100</v>
      </c>
      <c r="F34" s="20">
        <v>4.3</v>
      </c>
      <c r="G34" s="15">
        <f t="shared" si="4"/>
        <v>0.60563380281690105</v>
      </c>
      <c r="H34" s="20">
        <v>8.3000000000000007</v>
      </c>
      <c r="I34" s="41">
        <f t="shared" si="5"/>
        <v>1.16901408450704</v>
      </c>
      <c r="J34" s="16">
        <v>47.5</v>
      </c>
      <c r="K34" s="16">
        <v>22</v>
      </c>
      <c r="L34" s="16">
        <v>40</v>
      </c>
    </row>
    <row r="35" spans="1:12" ht="58.05" customHeight="1">
      <c r="A35" s="39"/>
      <c r="B35" s="25" t="s">
        <v>99</v>
      </c>
      <c r="C35" s="25" t="s">
        <v>100</v>
      </c>
      <c r="D35" s="25" t="s">
        <v>101</v>
      </c>
      <c r="E35" s="16">
        <v>100</v>
      </c>
      <c r="F35" s="29">
        <v>1.25</v>
      </c>
      <c r="G35" s="31">
        <f t="shared" si="4"/>
        <v>0.176056338028169</v>
      </c>
      <c r="H35" s="29">
        <v>2.15</v>
      </c>
      <c r="I35" s="42">
        <f t="shared" si="5"/>
        <v>0.30281690140845102</v>
      </c>
      <c r="J35" s="16">
        <v>47.5</v>
      </c>
      <c r="K35" s="16">
        <v>22</v>
      </c>
      <c r="L35" s="16">
        <v>18.5</v>
      </c>
    </row>
    <row r="36" spans="1:12" ht="30" customHeight="1">
      <c r="A36" s="49" t="s">
        <v>79</v>
      </c>
      <c r="B36" s="50"/>
      <c r="C36" s="50"/>
      <c r="D36" s="50"/>
      <c r="E36" s="50"/>
      <c r="F36" s="51"/>
      <c r="G36" s="52"/>
      <c r="H36" s="53"/>
      <c r="I36" s="52"/>
    </row>
  </sheetData>
  <mergeCells count="4">
    <mergeCell ref="A1:L1"/>
    <mergeCell ref="A25:L25"/>
    <mergeCell ref="A28:L28"/>
    <mergeCell ref="A36:I36"/>
  </mergeCells>
  <dataValidations count="1">
    <dataValidation type="custom" errorStyle="warning" allowBlank="1" showErrorMessage="1" errorTitle="拒绝重复输入" error="当前输入的内容，与本区域的其他单元格内容重复。" sqref="A30:A35" xr:uid="{00000000-0002-0000-0000-000000000000}">
      <formula1>COUNTIF($D$19:$D$109,A30)&lt;2</formula1>
    </dataValidation>
  </dataValidations>
  <pageMargins left="0.7" right="0.7" top="0.75" bottom="0.75" header="0.3" footer="0.3"/>
  <pageSetup paperSize="256" scale="90" orientation="portrait"/>
  <rowBreaks count="1" manualBreakCount="1">
    <brk id="21" max="16383" man="1"/>
  </rowBreaks>
  <colBreaks count="1" manualBreakCount="1">
    <brk id="9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A1系列 方形成品价格表 (2)</vt:lpstr>
      <vt:lpstr>'A1系列 方形成品价格表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CHUKWUNWIKE PETER NDIBE</cp:lastModifiedBy>
  <dcterms:created xsi:type="dcterms:W3CDTF">2024-08-13T01:01:00Z</dcterms:created>
  <dcterms:modified xsi:type="dcterms:W3CDTF">2025-12-06T03:49:11Z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AEA53E9CEF104C8E9BB0508FD391846A_13</vt:lpwstr>
  </property>
  <property fmtid="{D5CDD505-2E9C-101B-9397-08002B2CF9AE}" pid="3" name="KSOProductBuildVer">
    <vt:lpwstr>2052-12.1.0.21915</vt:lpwstr>
  </property>
</Properties>
</file>